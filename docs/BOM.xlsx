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 com justificativas" sheetId="1" state="visible" r:id="rId3"/>
  </sheets>
  <definedNames>
    <definedName function="false" hidden="true" localSheetId="0" name="_xlnm._FilterDatabase" vbProcedure="false">'BOM com justificativas'!$A$1:$H$26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<sst xmlns="http://schemas.openxmlformats.org/spreadsheetml/2006/main" count="160" uniqueCount="144">
  <si>
    <t xml:space="preserve">Nº</t>
  </si>
  <si>
    <t xml:space="preserve">Designadores</t>
  </si>
  <si>
    <t xml:space="preserve">Qtd</t>
  </si>
  <si>
    <t xml:space="preserve">Componente</t>
  </si>
  <si>
    <t xml:space="preserve">Encapsulamento (EasyEDA)</t>
  </si>
  <si>
    <t xml:space="preserve">LCSC</t>
  </si>
  <si>
    <t xml:space="preserve">Justificativa</t>
  </si>
  <si>
    <t xml:space="preserve">Referência</t>
  </si>
  <si>
    <t xml:space="preserve">C1, C10, C13, C16</t>
  </si>
  <si>
    <t xml:space="preserve">10 µF (CL10A106MA8NRNC)</t>
  </si>
  <si>
    <t xml:space="preserve">C0603</t>
  </si>
  <si>
    <t xml:space="preserve">C96446</t>
  </si>
  <si>
    <t xml:space="preserve">C10 na entrada do LDO (+5V) e C1 na saída (3V3); C13 e C16 no 3V3 como reservatório de carga para os picos de escrita do cartão SD.</t>
  </si>
  <si>
    <t xml:space="preserve">Datasheet AP2112; SD Physical Layer Spec</t>
  </si>
  <si>
    <t xml:space="preserve">C2, C3, C4, C5, C7, C9, C14, C15, C17, C18</t>
  </si>
  <si>
    <t xml:space="preserve">100 nF (C0603X5R1E104KT00NN)</t>
  </si>
  <si>
    <t xml:space="preserve">C0201</t>
  </si>
  <si>
    <t xml:space="preserve">C694146</t>
  </si>
  <si>
    <t xml:space="preserve">Desacoplamento: oito no 3V3 (três VDD do MCU, VBAT, BME280, VDD e VDDIO do IMU, VDD do SD), um no VDDA (C7) e um no NRST (C9). Sempre o mais perto possível do pino.</t>
  </si>
  <si>
    <t xml:space="preserve">AN4488 (ST)</t>
  </si>
  <si>
    <t xml:space="preserve">C6</t>
  </si>
  <si>
    <t xml:space="preserve">4,7 µF (CL10A475KO8NNNC)</t>
  </si>
  <si>
    <t xml:space="preserve">C19666</t>
  </si>
  <si>
    <t xml:space="preserve">Capacitor do regulador interno, no pino VCAP_1 (pino 22), conforme o datasheet do STM32F411.</t>
  </si>
  <si>
    <t xml:space="preserve">DS10314 (ST)</t>
  </si>
  <si>
    <t xml:space="preserve">C8</t>
  </si>
  <si>
    <t xml:space="preserve">1 µF (CL10A105KB8NNNC)</t>
  </si>
  <si>
    <t xml:space="preserve">C15849</t>
  </si>
  <si>
    <t xml:space="preserve">Parte do filtro do VDDA (+3,3VA), junto com C7 e a ferrite L1.</t>
  </si>
  <si>
    <t xml:space="preserve">C11, C12</t>
  </si>
  <si>
    <t xml:space="preserve">18 pF (V180K0201C0G500NAT)</t>
  </si>
  <si>
    <t xml:space="preserve">C525071</t>
  </si>
  <si>
    <t xml:space="preserve">Capacitores de carga do cristal de 25 MHz: C = 2·(CL − Cstray) = 2·(12 − 3) = 18 pF.</t>
  </si>
  <si>
    <t xml:space="preserve">AN2867 (ST)</t>
  </si>
  <si>
    <t xml:space="preserve">D1</t>
  </si>
  <si>
    <t xml:space="preserve">LED verde 3528 (D3528-LED-GREEN)</t>
  </si>
  <si>
    <t xml:space="preserve">LED-SMD_L3.5-W2.8-RD_GREEN</t>
  </si>
  <si>
    <t xml:space="preserve">C9900001516</t>
  </si>
  <si>
    <t xml:space="preserve">LED de status no PA1 (R3 de 1 kΩ em série); indica gravação e erros por padrões de piscadas.</t>
  </si>
  <si>
    <t xml:space="preserve">—</t>
  </si>
  <si>
    <t xml:space="preserve">D2</t>
  </si>
  <si>
    <t xml:space="preserve">LED vermelho 3528 (LED-3528-RED)</t>
  </si>
  <si>
    <t xml:space="preserve">LED-SMD_L3.5-W2.8-FD_RED</t>
  </si>
  <si>
    <t xml:space="preserve">C9900020242</t>
  </si>
  <si>
    <t xml:space="preserve">Indicador de 3,3 V presente (R4 de 1 kΩ em série).</t>
  </si>
  <si>
    <t xml:space="preserve">F1</t>
  </si>
  <si>
    <t xml:space="preserve">PTC rearmável 0,5 A (MF-MSMF050-2)</t>
  </si>
  <si>
    <t xml:space="preserve">F1812</t>
  </si>
  <si>
    <t xml:space="preserve">C17313</t>
  </si>
  <si>
    <t xml:space="preserve">Limita a corrente em caso de curto e protege a porta USB. Fica entre o VBUS do conector e a rede +5V que alimenta o LDO. Corrente de retenção de 0,5 A, folgada para o consumo estimado de ~185 mA.</t>
  </si>
  <si>
    <t xml:space="preserve">Datasheet MF-MSMF050 (Bourns)</t>
  </si>
  <si>
    <t xml:space="preserve">J1</t>
  </si>
  <si>
    <t xml:space="preserve">USB-C 16 pinos (USB-3.1TYPE-C16)</t>
  </si>
  <si>
    <t xml:space="preserve">USB-C-SMD_USB-3.1TYPE-C16</t>
  </si>
  <si>
    <t xml:space="preserve">C9900026744</t>
  </si>
  <si>
    <t xml:space="preserve">Entrega 5 V e D+/D− do USB 2.0 (DFU e CDC). A versão de 16 pinos tem os dois CC e é mais simples que a de 24. As abas da carcaça precisam ser ligadas ao GND no PCB.</t>
  </si>
  <si>
    <t xml:space="preserve">Especificação USB Type-C</t>
  </si>
  <si>
    <t xml:space="preserve">J2</t>
  </si>
  <si>
    <t xml:space="preserve">Slot microSD push-push (TF-01A)</t>
  </si>
  <si>
    <t xml:space="preserve">TF-SMD_TF-01A</t>
  </si>
  <si>
    <t xml:space="preserve">C9900015511</t>
  </si>
  <si>
    <t xml:space="preserve">Dá acesso aos 4 bits de dados (SDIO) e traz a chave mecânica de detecção de cartão (SD_CD).</t>
  </si>
  <si>
    <t xml:space="preserve">SD Physical Layer Spec</t>
  </si>
  <si>
    <t xml:space="preserve">J3</t>
  </si>
  <si>
    <t xml:space="preserve">Header 1×5 reto, passo 2,54 mm (PZ2.54-1x5PZZ-L11.5)</t>
  </si>
  <si>
    <t xml:space="preserve">HDR-TH_PZ2.54-1X5PZZ-L11.5</t>
  </si>
  <si>
    <t xml:space="preserve">C54876670</t>
  </si>
  <si>
    <t xml:space="preserve">Conector SWD de furo passante. Ordem dos pinos: 1 = GND, 2 = NRST, 3 = SWCLK, 4 = SWDIO, 5 = 3V3. Solda manual.</t>
  </si>
  <si>
    <t xml:space="preserve">RM0383 (ST)</t>
  </si>
  <si>
    <t xml:space="preserve">L1</t>
  </si>
  <si>
    <t xml:space="preserve">Ferrite bead 0402 (BEAD0402A102A02T)</t>
  </si>
  <si>
    <t xml:space="preserve">L0402</t>
  </si>
  <si>
    <t xml:space="preserve">C9900021104</t>
  </si>
  <si>
    <t xml:space="preserve">Filtro do VDDA em conjunto com C7 e C8, conforme a nota de aplicação do hardware STM32F4. Conferir a impedância no datasheet.</t>
  </si>
  <si>
    <t xml:space="preserve">R1, R2, R14, R15</t>
  </si>
  <si>
    <t xml:space="preserve">10 kΩ (0603WAF1002T5E)</t>
  </si>
  <si>
    <t xml:space="preserve">R0603</t>
  </si>
  <si>
    <t xml:space="preserve">C25804</t>
  </si>
  <si>
    <t xml:space="preserve">R1 pull-down do BOOT0, R2 pull-down do BOOT1 (PB2), R14 pull-up da detecção de cartão (SD_CD) e R15 pull-up do CS do IMU.</t>
  </si>
  <si>
    <t xml:space="preserve">AN2606 (ST)</t>
  </si>
  <si>
    <t xml:space="preserve">R3, R4</t>
  </si>
  <si>
    <t xml:space="preserve">1 kΩ (0603WAF1001T5E)</t>
  </si>
  <si>
    <t xml:space="preserve">C21190</t>
  </si>
  <si>
    <t xml:space="preserve">Limitadores de corrente dos LEDs D1 e D2 (cerca de 1 mA a 3,3 V).</t>
  </si>
  <si>
    <t xml:space="preserve">R5, R6</t>
  </si>
  <si>
    <t xml:space="preserve">5,1 kΩ (0603WAF5101T5E)</t>
  </si>
  <si>
    <t xml:space="preserve">C23186</t>
  </si>
  <si>
    <t xml:space="preserve">Rd em CC1 e CC2, que faz a fonte USB-C liberar os 5 V.</t>
  </si>
  <si>
    <t xml:space="preserve">R7, R8</t>
  </si>
  <si>
    <t xml:space="preserve">4,7 kΩ (0603WAF4701T5E)</t>
  </si>
  <si>
    <t xml:space="preserve">C23162</t>
  </si>
  <si>
    <t xml:space="preserve">Pull-ups de SDA (R7) e SCL (R8) do I²C1 a 400 kHz.</t>
  </si>
  <si>
    <t xml:space="preserve">UM10204 (NXP)</t>
  </si>
  <si>
    <t xml:space="preserve">R9, R10, R11, R12, R13</t>
  </si>
  <si>
    <t xml:space="preserve">47 kΩ (0603WAF4702T5E)</t>
  </si>
  <si>
    <t xml:space="preserve">C25819</t>
  </si>
  <si>
    <t xml:space="preserve">Pull-ups de CMD e D0 a D3 do SDIO, mantendo o barramento em nível alto com o cartão desconectado.</t>
  </si>
  <si>
    <t xml:space="preserve">SW1, SW2, SW3</t>
  </si>
  <si>
    <t xml:space="preserve">Botão tátil SMD (TS-1088-AR02016)</t>
  </si>
  <si>
    <t xml:space="preserve">SW-SMD_L3.9-W3.0-P4.45</t>
  </si>
  <si>
    <t xml:space="preserve">C720477</t>
  </si>
  <si>
    <t xml:space="preserve">SW1 reinicia o MCU (NRST), SW2 leva o BOOT0 ao 3V3 para o DFU e SW3 é o botão de usuário (PA0).</t>
  </si>
  <si>
    <t xml:space="preserve">T1, T2, T3</t>
  </si>
  <si>
    <r>
      <rPr>
        <sz val="10"/>
        <rFont val="Arial"/>
        <family val="0"/>
        <charset val="1"/>
      </rPr>
      <t xml:space="preserve">Ponto de teste (TP-</t>
    </r>
    <r>
      <rPr>
        <sz val="10"/>
        <rFont val="Noto Sans CJK SC"/>
        <family val="2"/>
      </rPr>
      <t xml:space="preserve">橘色测试点</t>
    </r>
    <r>
      <rPr>
        <sz val="10"/>
        <rFont val="Arial"/>
        <family val="0"/>
        <charset val="1"/>
      </rPr>
      <t xml:space="preserve">)</t>
    </r>
  </si>
  <si>
    <t xml:space="preserve">TESTPOINT-TH_BD3.2</t>
  </si>
  <si>
    <t xml:space="preserve">C9900007421</t>
  </si>
  <si>
    <t xml:space="preserve">Três pontos de teste: T1 = 3V3, T2 = +5V, T3 = GND, suficientes para as medições de alimentação do plano de testes.</t>
  </si>
  <si>
    <t xml:space="preserve">U1</t>
  </si>
  <si>
    <t xml:space="preserve">STM32F411CEU6</t>
  </si>
  <si>
    <t xml:space="preserve">UFQFPN-48_L7.0-W7.0-P0.50-BL-EP</t>
  </si>
  <si>
    <t xml:space="preserve">C60420</t>
  </si>
  <si>
    <t xml:space="preserve">Cortex-M4 a 100 MHz com 512 kB de flash e 128 kB de RAM; tem SDIO, USB FS, SPI, I²C e RTC. É a sugestão do desafio. O pad térmico (EP, pino 49) vai ao GND.</t>
  </si>
  <si>
    <t xml:space="preserve">DS10314 (ST); AN4488</t>
  </si>
  <si>
    <t xml:space="preserve">U2</t>
  </si>
  <si>
    <t xml:space="preserve">BME280</t>
  </si>
  <si>
    <t xml:space="preserve">LGA-8_BME280_BL</t>
  </si>
  <si>
    <t xml:space="preserve">C92489</t>
  </si>
  <si>
    <t xml:space="preserve">Temperatura, umidade e pressão em um só chip, em I²C (0x76 com SDO no GND, CSB no 3V3, ID 0x60). Precisão típica de ±1 °C, ±3 %RH e ±1 hPa; pressão válida de 300 a 1100 hPa.</t>
  </si>
  <si>
    <t xml:space="preserve">BST-BME280-DS002 (Bosch)</t>
  </si>
  <si>
    <t xml:space="preserve">U3</t>
  </si>
  <si>
    <t xml:space="preserve">LSM6DSOQTR</t>
  </si>
  <si>
    <t xml:space="preserve">LGA-14_L3.0-W2.5-P0.50-BL</t>
  </si>
  <si>
    <t xml:space="preserve">C6805512</t>
  </si>
  <si>
    <t xml:space="preserve">Acelerômetro e giroscópio com SPI de até 10 MHz e INT1 de data-ready. Faixas de ±16 g e ±2000 dps cobrem o voo. WHO_AM_I 0x6C; driver oficial da ST.</t>
  </si>
  <si>
    <t xml:space="preserve">Datasheet LSM6DSO (ST)</t>
  </si>
  <si>
    <t xml:space="preserve">U4</t>
  </si>
  <si>
    <t xml:space="preserve">AP2112K-3.3TRG1</t>
  </si>
  <si>
    <t xml:space="preserve">SOT-23-5_L2.9-W1.6-P0.95-LS2.8-BR</t>
  </si>
  <si>
    <t xml:space="preserve">C23380830</t>
  </si>
  <si>
    <t xml:space="preserve">LDO de 3,3 V e 600 mA, suficiente para o pico de escrita do SD (até 150 mA estimados). Dissipação no pior caso discutida no README.</t>
  </si>
  <si>
    <t xml:space="preserve">Datasheet AP2112 (Diodes)</t>
  </si>
  <si>
    <t xml:space="preserve">U5</t>
  </si>
  <si>
    <t xml:space="preserve">USBLC6-2SC6</t>
  </si>
  <si>
    <t xml:space="preserve">SOT-23-6_L2.9-W1.6-P0.95-LS2.8-BL</t>
  </si>
  <si>
    <t xml:space="preserve">C2827654</t>
  </si>
  <si>
    <t xml:space="preserve">Proteção ESD de D+, D− e VBUS do USB, de baixa capacitância (USB 2.0 full-speed).</t>
  </si>
  <si>
    <t xml:space="preserve">Datasheet USBLC6-2 (ST)</t>
  </si>
  <si>
    <t xml:space="preserve">X1</t>
  </si>
  <si>
    <t xml:space="preserve">Cristal 25 MHz (X322525MOB4SI)</t>
  </si>
  <si>
    <t xml:space="preserve">CRYSTAL-SMD_4P-L3.2-W2.5-BL</t>
  </si>
  <si>
    <t xml:space="preserve">C9006</t>
  </si>
  <si>
    <t xml:space="preserve">Clock externo (HSE). Com M = 25 o PLL tem 1 MHz de entrada e gera 96 MHz de sistema e 48 MHz exatos para USB e SDIO.</t>
  </si>
  <si>
    <t xml:space="preserve">Total</t>
  </si>
  <si>
    <t xml:space="preserve">Fonte: BOM exportada do EasyEDA (Schematic1, V1.0, 22/10/2026), com justificativas elaboradas pelo autor. Código LCSC = referência de compra no LCSC/JLCPCB.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</si>
</sst>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name val="Noto Sans CJK SC"/>
      <family val="2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6"/>
    <col collapsed="false" customWidth="true" hidden="false" outlineLevel="0" max="4" min="4" style="0" width="30"/>
    <col collapsed="false" customWidth="true" hidden="false" outlineLevel="0" max="5" min="5" style="0" width="24"/>
    <col collapsed="false" customWidth="true" hidden="false" outlineLevel="0" max="6" min="6" style="0" width="15"/>
    <col collapsed="false" customWidth="true" hidden="false" outlineLevel="0" max="7" min="7" style="0" width="70"/>
    <col collapsed="false" customWidth="true" hidden="false" outlineLevel="0" max="8" min="8" style="0" width="26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23.85" hidden="false" customHeight="false" outlineLevel="0" collapsed="false">
      <c r="A2" s="2" t="n">
        <v>1</v>
      </c>
      <c r="B2" s="3" t="s">
        <v>8</v>
      </c>
      <c r="C2" s="2" t="n">
        <v>4</v>
      </c>
      <c r="D2" s="3" t="s">
        <v>9</v>
      </c>
      <c r="E2" s="3" t="s">
        <v>10</v>
      </c>
      <c r="F2" s="3" t="s">
        <v>11</v>
      </c>
      <c r="G2" s="3" t="s">
        <v>12</v>
      </c>
      <c r="H2" s="3" t="s">
        <v>13</v>
      </c>
    </row>
    <row r="3" customFormat="false" ht="35.05" hidden="false" customHeight="false" outlineLevel="0" collapsed="false">
      <c r="A3" s="2" t="n">
        <v>2</v>
      </c>
      <c r="B3" s="3" t="s">
        <v>14</v>
      </c>
      <c r="C3" s="2" t="n">
        <v>10</v>
      </c>
      <c r="D3" s="3" t="s">
        <v>15</v>
      </c>
      <c r="E3" s="3" t="s">
        <v>16</v>
      </c>
      <c r="F3" s="3" t="s">
        <v>17</v>
      </c>
      <c r="G3" s="3" t="s">
        <v>18</v>
      </c>
      <c r="H3" s="3" t="s">
        <v>19</v>
      </c>
    </row>
    <row r="4" customFormat="false" ht="23.85" hidden="false" customHeight="false" outlineLevel="0" collapsed="false">
      <c r="A4" s="2" t="n">
        <v>3</v>
      </c>
      <c r="B4" s="3" t="s">
        <v>20</v>
      </c>
      <c r="C4" s="2" t="n">
        <v>1</v>
      </c>
      <c r="D4" s="3" t="s">
        <v>21</v>
      </c>
      <c r="E4" s="3" t="s">
        <v>10</v>
      </c>
      <c r="F4" s="3" t="s">
        <v>22</v>
      </c>
      <c r="G4" s="3" t="s">
        <v>23</v>
      </c>
      <c r="H4" s="3" t="s">
        <v>24</v>
      </c>
    </row>
    <row r="5" customFormat="false" ht="15" hidden="false" customHeight="false" outlineLevel="0" collapsed="false">
      <c r="A5" s="2" t="n">
        <v>4</v>
      </c>
      <c r="B5" s="3" t="s">
        <v>25</v>
      </c>
      <c r="C5" s="2" t="n">
        <v>1</v>
      </c>
      <c r="D5" s="3" t="s">
        <v>26</v>
      </c>
      <c r="E5" s="3" t="s">
        <v>10</v>
      </c>
      <c r="F5" s="3" t="s">
        <v>27</v>
      </c>
      <c r="G5" s="3" t="s">
        <v>28</v>
      </c>
      <c r="H5" s="3" t="s">
        <v>19</v>
      </c>
    </row>
    <row r="6" customFormat="false" ht="15" hidden="false" customHeight="false" outlineLevel="0" collapsed="false">
      <c r="A6" s="2" t="n">
        <v>5</v>
      </c>
      <c r="B6" s="3" t="s">
        <v>29</v>
      </c>
      <c r="C6" s="2" t="n">
        <v>2</v>
      </c>
      <c r="D6" s="3" t="s">
        <v>30</v>
      </c>
      <c r="E6" s="3" t="s">
        <v>16</v>
      </c>
      <c r="F6" s="3" t="s">
        <v>31</v>
      </c>
      <c r="G6" s="3" t="s">
        <v>32</v>
      </c>
      <c r="H6" s="3" t="s">
        <v>33</v>
      </c>
    </row>
    <row r="7" customFormat="false" ht="23.85" hidden="false" customHeight="false" outlineLevel="0" collapsed="false">
      <c r="A7" s="2" t="n">
        <v>6</v>
      </c>
      <c r="B7" s="3" t="s">
        <v>34</v>
      </c>
      <c r="C7" s="2" t="n">
        <v>1</v>
      </c>
      <c r="D7" s="3" t="s">
        <v>35</v>
      </c>
      <c r="E7" s="3" t="s">
        <v>36</v>
      </c>
      <c r="F7" s="3" t="s">
        <v>37</v>
      </c>
      <c r="G7" s="3" t="s">
        <v>38</v>
      </c>
      <c r="H7" s="3" t="s">
        <v>39</v>
      </c>
    </row>
    <row r="8" customFormat="false" ht="23.85" hidden="false" customHeight="false" outlineLevel="0" collapsed="false">
      <c r="A8" s="2" t="n">
        <v>7</v>
      </c>
      <c r="B8" s="3" t="s">
        <v>40</v>
      </c>
      <c r="C8" s="2" t="n">
        <v>1</v>
      </c>
      <c r="D8" s="3" t="s">
        <v>41</v>
      </c>
      <c r="E8" s="3" t="s">
        <v>42</v>
      </c>
      <c r="F8" s="3" t="s">
        <v>43</v>
      </c>
      <c r="G8" s="3" t="s">
        <v>44</v>
      </c>
      <c r="H8" s="3" t="s">
        <v>39</v>
      </c>
    </row>
    <row r="9" customFormat="false" ht="35.05" hidden="false" customHeight="false" outlineLevel="0" collapsed="false">
      <c r="A9" s="2" t="n">
        <v>8</v>
      </c>
      <c r="B9" s="3" t="s">
        <v>45</v>
      </c>
      <c r="C9" s="2" t="n">
        <v>1</v>
      </c>
      <c r="D9" s="3" t="s">
        <v>46</v>
      </c>
      <c r="E9" s="3" t="s">
        <v>47</v>
      </c>
      <c r="F9" s="3" t="s">
        <v>48</v>
      </c>
      <c r="G9" s="3" t="s">
        <v>49</v>
      </c>
      <c r="H9" s="3" t="s">
        <v>50</v>
      </c>
    </row>
    <row r="10" customFormat="false" ht="35.05" hidden="false" customHeight="false" outlineLevel="0" collapsed="false">
      <c r="A10" s="2" t="n">
        <v>9</v>
      </c>
      <c r="B10" s="3" t="s">
        <v>51</v>
      </c>
      <c r="C10" s="2" t="n">
        <v>1</v>
      </c>
      <c r="D10" s="3" t="s">
        <v>52</v>
      </c>
      <c r="E10" s="3" t="s">
        <v>53</v>
      </c>
      <c r="F10" s="3" t="s">
        <v>54</v>
      </c>
      <c r="G10" s="3" t="s">
        <v>55</v>
      </c>
      <c r="H10" s="3" t="s">
        <v>56</v>
      </c>
    </row>
    <row r="11" customFormat="false" ht="23.85" hidden="false" customHeight="false" outlineLevel="0" collapsed="false">
      <c r="A11" s="2" t="n">
        <v>10</v>
      </c>
      <c r="B11" s="3" t="s">
        <v>57</v>
      </c>
      <c r="C11" s="2" t="n">
        <v>1</v>
      </c>
      <c r="D11" s="3" t="s">
        <v>58</v>
      </c>
      <c r="E11" s="3" t="s">
        <v>59</v>
      </c>
      <c r="F11" s="3" t="s">
        <v>60</v>
      </c>
      <c r="G11" s="3" t="s">
        <v>61</v>
      </c>
      <c r="H11" s="3" t="s">
        <v>62</v>
      </c>
    </row>
    <row r="12" customFormat="false" ht="23.85" hidden="false" customHeight="false" outlineLevel="0" collapsed="false">
      <c r="A12" s="2" t="n">
        <v>11</v>
      </c>
      <c r="B12" s="3" t="s">
        <v>63</v>
      </c>
      <c r="C12" s="2" t="n">
        <v>1</v>
      </c>
      <c r="D12" s="3" t="s">
        <v>64</v>
      </c>
      <c r="E12" s="3" t="s">
        <v>65</v>
      </c>
      <c r="F12" s="3" t="s">
        <v>66</v>
      </c>
      <c r="G12" s="3" t="s">
        <v>67</v>
      </c>
      <c r="H12" s="3" t="s">
        <v>68</v>
      </c>
    </row>
    <row r="13" customFormat="false" ht="23.85" hidden="false" customHeight="false" outlineLevel="0" collapsed="false">
      <c r="A13" s="2" t="n">
        <v>12</v>
      </c>
      <c r="B13" s="3" t="s">
        <v>69</v>
      </c>
      <c r="C13" s="2" t="n">
        <v>1</v>
      </c>
      <c r="D13" s="3" t="s">
        <v>70</v>
      </c>
      <c r="E13" s="3" t="s">
        <v>71</v>
      </c>
      <c r="F13" s="3" t="s">
        <v>72</v>
      </c>
      <c r="G13" s="3" t="s">
        <v>73</v>
      </c>
      <c r="H13" s="3" t="s">
        <v>19</v>
      </c>
    </row>
    <row r="14" customFormat="false" ht="23.85" hidden="false" customHeight="false" outlineLevel="0" collapsed="false">
      <c r="A14" s="2" t="n">
        <v>13</v>
      </c>
      <c r="B14" s="3" t="s">
        <v>74</v>
      </c>
      <c r="C14" s="2" t="n">
        <v>4</v>
      </c>
      <c r="D14" s="3" t="s">
        <v>75</v>
      </c>
      <c r="E14" s="3" t="s">
        <v>76</v>
      </c>
      <c r="F14" s="3" t="s">
        <v>77</v>
      </c>
      <c r="G14" s="3" t="s">
        <v>78</v>
      </c>
      <c r="H14" s="3" t="s">
        <v>79</v>
      </c>
    </row>
    <row r="15" customFormat="false" ht="15" hidden="false" customHeight="false" outlineLevel="0" collapsed="false">
      <c r="A15" s="2" t="n">
        <v>14</v>
      </c>
      <c r="B15" s="3" t="s">
        <v>80</v>
      </c>
      <c r="C15" s="2" t="n">
        <v>2</v>
      </c>
      <c r="D15" s="3" t="s">
        <v>81</v>
      </c>
      <c r="E15" s="3" t="s">
        <v>76</v>
      </c>
      <c r="F15" s="3" t="s">
        <v>82</v>
      </c>
      <c r="G15" s="3" t="s">
        <v>83</v>
      </c>
      <c r="H15" s="3" t="s">
        <v>39</v>
      </c>
    </row>
    <row r="16" customFormat="false" ht="15" hidden="false" customHeight="false" outlineLevel="0" collapsed="false">
      <c r="A16" s="2" t="n">
        <v>15</v>
      </c>
      <c r="B16" s="3" t="s">
        <v>84</v>
      </c>
      <c r="C16" s="2" t="n">
        <v>2</v>
      </c>
      <c r="D16" s="3" t="s">
        <v>85</v>
      </c>
      <c r="E16" s="3" t="s">
        <v>76</v>
      </c>
      <c r="F16" s="3" t="s">
        <v>86</v>
      </c>
      <c r="G16" s="3" t="s">
        <v>87</v>
      </c>
      <c r="H16" s="3" t="s">
        <v>56</v>
      </c>
    </row>
    <row r="17" customFormat="false" ht="15" hidden="false" customHeight="false" outlineLevel="0" collapsed="false">
      <c r="A17" s="2" t="n">
        <v>16</v>
      </c>
      <c r="B17" s="3" t="s">
        <v>88</v>
      </c>
      <c r="C17" s="2" t="n">
        <v>2</v>
      </c>
      <c r="D17" s="3" t="s">
        <v>89</v>
      </c>
      <c r="E17" s="3" t="s">
        <v>76</v>
      </c>
      <c r="F17" s="3" t="s">
        <v>90</v>
      </c>
      <c r="G17" s="3" t="s">
        <v>91</v>
      </c>
      <c r="H17" s="3" t="s">
        <v>92</v>
      </c>
    </row>
    <row r="18" customFormat="false" ht="23.85" hidden="false" customHeight="false" outlineLevel="0" collapsed="false">
      <c r="A18" s="2" t="n">
        <v>17</v>
      </c>
      <c r="B18" s="3" t="s">
        <v>93</v>
      </c>
      <c r="C18" s="2" t="n">
        <v>5</v>
      </c>
      <c r="D18" s="3" t="s">
        <v>94</v>
      </c>
      <c r="E18" s="3" t="s">
        <v>76</v>
      </c>
      <c r="F18" s="3" t="s">
        <v>95</v>
      </c>
      <c r="G18" s="3" t="s">
        <v>96</v>
      </c>
      <c r="H18" s="3" t="s">
        <v>62</v>
      </c>
    </row>
    <row r="19" customFormat="false" ht="23.85" hidden="false" customHeight="false" outlineLevel="0" collapsed="false">
      <c r="A19" s="2" t="n">
        <v>18</v>
      </c>
      <c r="B19" s="3" t="s">
        <v>97</v>
      </c>
      <c r="C19" s="2" t="n">
        <v>3</v>
      </c>
      <c r="D19" s="3" t="s">
        <v>98</v>
      </c>
      <c r="E19" s="3" t="s">
        <v>99</v>
      </c>
      <c r="F19" s="3" t="s">
        <v>100</v>
      </c>
      <c r="G19" s="3" t="s">
        <v>101</v>
      </c>
      <c r="H19" s="3" t="s">
        <v>79</v>
      </c>
    </row>
    <row r="20" customFormat="false" ht="23.85" hidden="false" customHeight="false" outlineLevel="0" collapsed="false">
      <c r="A20" s="2" t="n">
        <v>19</v>
      </c>
      <c r="B20" s="3" t="s">
        <v>102</v>
      </c>
      <c r="C20" s="2" t="n">
        <v>3</v>
      </c>
      <c r="D20" s="3" t="s">
        <v>103</v>
      </c>
      <c r="E20" s="3" t="s">
        <v>104</v>
      </c>
      <c r="F20" s="3" t="s">
        <v>105</v>
      </c>
      <c r="G20" s="3" t="s">
        <v>106</v>
      </c>
      <c r="H20" s="3" t="s">
        <v>39</v>
      </c>
    </row>
    <row r="21" customFormat="false" ht="23.85" hidden="false" customHeight="false" outlineLevel="0" collapsed="false">
      <c r="A21" s="2" t="n">
        <v>20</v>
      </c>
      <c r="B21" s="3" t="s">
        <v>107</v>
      </c>
      <c r="C21" s="2" t="n">
        <v>1</v>
      </c>
      <c r="D21" s="3" t="s">
        <v>108</v>
      </c>
      <c r="E21" s="3" t="s">
        <v>109</v>
      </c>
      <c r="F21" s="3" t="s">
        <v>110</v>
      </c>
      <c r="G21" s="3" t="s">
        <v>111</v>
      </c>
      <c r="H21" s="3" t="s">
        <v>112</v>
      </c>
    </row>
    <row r="22" customFormat="false" ht="35.05" hidden="false" customHeight="false" outlineLevel="0" collapsed="false">
      <c r="A22" s="2" t="n">
        <v>21</v>
      </c>
      <c r="B22" s="3" t="s">
        <v>113</v>
      </c>
      <c r="C22" s="2" t="n">
        <v>1</v>
      </c>
      <c r="D22" s="3" t="s">
        <v>114</v>
      </c>
      <c r="E22" s="3" t="s">
        <v>115</v>
      </c>
      <c r="F22" s="3" t="s">
        <v>116</v>
      </c>
      <c r="G22" s="3" t="s">
        <v>117</v>
      </c>
      <c r="H22" s="3" t="s">
        <v>118</v>
      </c>
    </row>
    <row r="23" customFormat="false" ht="23.85" hidden="false" customHeight="false" outlineLevel="0" collapsed="false">
      <c r="A23" s="2" t="n">
        <v>22</v>
      </c>
      <c r="B23" s="3" t="s">
        <v>119</v>
      </c>
      <c r="C23" s="2" t="n">
        <v>1</v>
      </c>
      <c r="D23" s="3" t="s">
        <v>120</v>
      </c>
      <c r="E23" s="3" t="s">
        <v>121</v>
      </c>
      <c r="F23" s="3" t="s">
        <v>122</v>
      </c>
      <c r="G23" s="3" t="s">
        <v>123</v>
      </c>
      <c r="H23" s="3" t="s">
        <v>124</v>
      </c>
    </row>
    <row r="24" customFormat="false" ht="23.85" hidden="false" customHeight="false" outlineLevel="0" collapsed="false">
      <c r="A24" s="2" t="n">
        <v>23</v>
      </c>
      <c r="B24" s="3" t="s">
        <v>125</v>
      </c>
      <c r="C24" s="2" t="n">
        <v>1</v>
      </c>
      <c r="D24" s="3" t="s">
        <v>126</v>
      </c>
      <c r="E24" s="3" t="s">
        <v>127</v>
      </c>
      <c r="F24" s="3" t="s">
        <v>128</v>
      </c>
      <c r="G24" s="3" t="s">
        <v>129</v>
      </c>
      <c r="H24" s="3" t="s">
        <v>130</v>
      </c>
    </row>
    <row r="25" customFormat="false" ht="23.85" hidden="false" customHeight="false" outlineLevel="0" collapsed="false">
      <c r="A25" s="2" t="n">
        <v>24</v>
      </c>
      <c r="B25" s="3" t="s">
        <v>131</v>
      </c>
      <c r="C25" s="2" t="n">
        <v>1</v>
      </c>
      <c r="D25" s="3" t="s">
        <v>132</v>
      </c>
      <c r="E25" s="3" t="s">
        <v>133</v>
      </c>
      <c r="F25" s="3" t="s">
        <v>134</v>
      </c>
      <c r="G25" s="3" t="s">
        <v>135</v>
      </c>
      <c r="H25" s="3" t="s">
        <v>136</v>
      </c>
    </row>
    <row r="26" customFormat="false" ht="23.85" hidden="false" customHeight="false" outlineLevel="0" collapsed="false">
      <c r="A26" s="2" t="n">
        <v>25</v>
      </c>
      <c r="B26" s="3" t="s">
        <v>137</v>
      </c>
      <c r="C26" s="2" t="n">
        <v>1</v>
      </c>
      <c r="D26" s="3" t="s">
        <v>138</v>
      </c>
      <c r="E26" s="3" t="s">
        <v>139</v>
      </c>
      <c r="F26" s="3" t="s">
        <v>140</v>
      </c>
      <c r="G26" s="3" t="s">
        <v>141</v>
      </c>
      <c r="H26" s="3" t="s">
        <v>33</v>
      </c>
    </row>
    <row r="27" customFormat="false" ht="15" hidden="false" customHeight="false" outlineLevel="0" collapsed="false">
      <c r="A27" s="4" t="s">
        <v>142</v>
      </c>
      <c r="B27" s="4"/>
      <c r="C27" s="5" t="n">
        <f aca="false">SUM(C2:C26)</f>
        <v>52</v>
      </c>
      <c r="D27" s="4"/>
      <c r="E27" s="4"/>
      <c r="F27" s="4"/>
      <c r="G27" s="4"/>
      <c r="H27" s="4"/>
    </row>
    <row r="29" customFormat="false" ht="15" hidden="false" customHeight="false" outlineLevel="0" collapsed="false">
      <c r="A29" s="6" t="s">
        <v>143</v>
      </c>
    </row>
  </sheetData>
  <autoFilter ref="A1:H2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2026-10-23T21:33:16Z</dcterms:created>
  <dc:creator>openpyxl</dc:creator>
  <dc:description/>
  <dc:language>en-US</dc:language>
  <cp:lastModifiedBy/>
  <dcterms:modified xsi:type="dcterms:W3CDTF">2026-10-23T21:33:16Z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